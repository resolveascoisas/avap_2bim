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<sst xmlns="http://schemas.openxmlformats.org/spreadsheetml/2006/main" count="46" uniqueCount="40">
  <si>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</si>
  <si>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</si>
  <si>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</si>
  <si>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</si>
  <si>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</si>
  <si>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</si>
  <si>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</si>
  <si>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</si>
  <si>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</si>
  <si>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9H ANUAL - 40977806</t>
  </si>
  <si>
    <t>6° ANO B INTEGRAL 9H ANUAL - 40977807</t>
  </si>
  <si>
    <t>6° ANO C INTEGRAL 9H ANUAL - 41216614</t>
  </si>
  <si>
    <t>7° ANO A INTEGRAL 9H ANUAL - 40919349</t>
  </si>
  <si>
    <t>7° ANO B INTEGRAL 9H ANUAL - 40919350</t>
  </si>
  <si>
    <t>8° ANO A INTEGRAL 9H ANUAL - 40919351</t>
  </si>
  <si>
    <t>8° ANO B INTEGRAL 9H ANUAL - 40919348</t>
  </si>
  <si>
    <t>9° ANO A INTEGRAL 9H ANUAL - 40919352</t>
  </si>
  <si>
    <t>9º ANO B INTEGRAL 9H ANUAL - 40919347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</si>
  <si>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</si>
  <si>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</si>
  <si>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</si>
  <si>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</si>
  <si>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</si>
  <si>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</si>
  <si>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</si>
  <si>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</si>
  <si>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12173 - AGRONEGÓCIO - 2ª SERIE B INTEGRAL 9H ANUAL - 41140293</t>
  </si>
  <si>
    <t>12173 - AGRONEGÓCIO - 2ª SERIE C INTEGRAL 9H ANUAL - 41140294</t>
  </si>
  <si>
    <t>1ª SERIE A INTEGRAL 9H ANUAL - 40970023</t>
  </si>
  <si>
    <t>1ª SERIE B INTEGRAL 9H ANUAL - 40970024</t>
  </si>
  <si>
    <t>4050 - ADMINISTRAÇÃO - 2ª SERIE A INTEGRAL 9H ANUAL - 41140292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</si>
  <si>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</si>
  <si>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</si>
  <si>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</si>
  <si>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</si>
  <si>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</si>
  <si>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</si>
  <si>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12173 - AGRONEGÓCIO - 3ª SERIE A INTEGRAL 9H ANUAL - 40964982</t>
  </si>
  <si>
    <t>3ª SERIE C INTEGRAL 9H ANUAL - 40947998</t>
  </si>
  <si>
    <t>4050 - ADMINISTRAÇÃO - 3ª SERIE B INTEGRAL 9H ANUAL - 40964983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</si>
</sst>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shrinkToFit="0" wrapText="0"/>
    </xf>
    <xf borderId="2" fillId="0" fontId="1" numFmtId="0" xfId="0" applyAlignment="1" applyBorder="1" applyFont="1">
      <alignment horizontal="center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6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5.75" customHeight="1">
      <c r="A2" s="4" t="s">
        <v>9</v>
      </c>
      <c r="B2" s="5">
        <v>29.0</v>
      </c>
      <c r="C2" s="5">
        <v>58.0</v>
      </c>
      <c r="D2" s="5">
        <v>60.0</v>
      </c>
      <c r="E2" s="5">
        <v>47.0</v>
      </c>
      <c r="F2" s="5">
        <v>56.0</v>
      </c>
      <c r="G2" s="5">
        <v>24.0</v>
      </c>
      <c r="H2" s="5">
        <v>24.0</v>
      </c>
      <c r="I2" s="5">
        <f t="shared" ref="I2:I10" si="1">SUM(C2:H2)</f>
        <v>269</v>
      </c>
    </row>
    <row r="3" ht="15.75" customHeight="1">
      <c r="A3" s="4" t="s">
        <v>10</v>
      </c>
      <c r="B3" s="5">
        <v>28.0</v>
      </c>
      <c r="C3" s="5">
        <v>59.0</v>
      </c>
      <c r="D3" s="5">
        <v>64.0</v>
      </c>
      <c r="E3" s="5">
        <v>48.0</v>
      </c>
      <c r="F3" s="5">
        <v>56.0</v>
      </c>
      <c r="G3" s="5">
        <v>25.0</v>
      </c>
      <c r="H3" s="5">
        <v>25.0</v>
      </c>
      <c r="I3" s="5">
        <f t="shared" si="1"/>
        <v>277</v>
      </c>
    </row>
    <row r="4" ht="15.75" customHeight="1">
      <c r="A4" s="4" t="s">
        <v>11</v>
      </c>
      <c r="B4" s="5">
        <v>28.0</v>
      </c>
      <c r="C4" s="5">
        <v>45.0</v>
      </c>
      <c r="D4" s="5">
        <v>40.0</v>
      </c>
      <c r="E4" s="5">
        <v>35.0</v>
      </c>
      <c r="F4" s="5">
        <v>26.0</v>
      </c>
      <c r="G4" s="5">
        <v>27.0</v>
      </c>
      <c r="H4" s="5">
        <v>24.0</v>
      </c>
      <c r="I4" s="5">
        <f t="shared" si="1"/>
        <v>197</v>
      </c>
    </row>
    <row r="5" ht="15.75" customHeight="1">
      <c r="A5" s="4" t="s">
        <v>12</v>
      </c>
      <c r="B5" s="5">
        <v>32.0</v>
      </c>
      <c r="C5" s="5">
        <v>43.0</v>
      </c>
      <c r="D5" s="5">
        <v>29.0</v>
      </c>
      <c r="E5" s="5">
        <v>42.0</v>
      </c>
      <c r="F5" s="5">
        <v>33.0</v>
      </c>
      <c r="G5" s="5">
        <v>20.0</v>
      </c>
      <c r="H5" s="5">
        <v>24.0</v>
      </c>
      <c r="I5" s="5">
        <f t="shared" si="1"/>
        <v>191</v>
      </c>
    </row>
    <row r="6" ht="15.75" customHeight="1">
      <c r="A6" s="4" t="s">
        <v>13</v>
      </c>
      <c r="B6" s="5">
        <v>35.0</v>
      </c>
      <c r="C6" s="5">
        <v>44.0</v>
      </c>
      <c r="D6" s="5">
        <v>31.0</v>
      </c>
      <c r="E6" s="5">
        <v>42.0</v>
      </c>
      <c r="F6" s="5">
        <v>34.0</v>
      </c>
      <c r="G6" s="5">
        <v>19.0</v>
      </c>
      <c r="H6" s="5">
        <v>24.0</v>
      </c>
      <c r="I6" s="5">
        <f t="shared" si="1"/>
        <v>194</v>
      </c>
    </row>
    <row r="7" ht="15.75" customHeight="1">
      <c r="A7" s="4" t="s">
        <v>14</v>
      </c>
      <c r="B7" s="5">
        <v>23.0</v>
      </c>
      <c r="C7" s="5">
        <v>46.0</v>
      </c>
      <c r="D7" s="5">
        <v>30.0</v>
      </c>
      <c r="E7" s="5">
        <v>23.0</v>
      </c>
      <c r="F7" s="5">
        <v>27.0</v>
      </c>
      <c r="G7" s="5">
        <v>14.0</v>
      </c>
      <c r="H7" s="5">
        <v>29.0</v>
      </c>
      <c r="I7" s="5">
        <f t="shared" si="1"/>
        <v>169</v>
      </c>
    </row>
    <row r="8" ht="15.75" customHeight="1">
      <c r="A8" s="4" t="s">
        <v>15</v>
      </c>
      <c r="B8" s="5">
        <v>20.0</v>
      </c>
      <c r="C8" s="5">
        <v>46.0</v>
      </c>
      <c r="D8" s="5">
        <v>22.0</v>
      </c>
      <c r="E8" s="5">
        <v>19.0</v>
      </c>
      <c r="F8" s="5">
        <v>22.0</v>
      </c>
      <c r="G8" s="5">
        <v>19.0</v>
      </c>
      <c r="H8" s="5">
        <v>23.0</v>
      </c>
      <c r="I8" s="5">
        <f t="shared" si="1"/>
        <v>151</v>
      </c>
    </row>
    <row r="9" ht="15.75" customHeight="1">
      <c r="A9" s="4" t="s">
        <v>16</v>
      </c>
      <c r="B9" s="5">
        <v>33.0</v>
      </c>
      <c r="C9" s="5">
        <v>75.0</v>
      </c>
      <c r="D9" s="5">
        <v>72.0</v>
      </c>
      <c r="E9" s="5">
        <v>49.0</v>
      </c>
      <c r="F9" s="5">
        <v>41.0</v>
      </c>
      <c r="G9" s="5">
        <v>40.0</v>
      </c>
      <c r="H9" s="5">
        <v>44.0</v>
      </c>
      <c r="I9" s="5">
        <f t="shared" si="1"/>
        <v>321</v>
      </c>
    </row>
    <row r="10" ht="15.75" customHeight="1">
      <c r="A10" s="4" t="s">
        <v>17</v>
      </c>
      <c r="B10" s="5">
        <v>35.0</v>
      </c>
      <c r="C10" s="5">
        <f>19+20+18+15</f>
        <v>72</v>
      </c>
      <c r="D10" s="5">
        <f>15+20+16+18</f>
        <v>69</v>
      </c>
      <c r="E10" s="5">
        <f>15+17+18</f>
        <v>50</v>
      </c>
      <c r="F10" s="5">
        <f>14+13+13</f>
        <v>40</v>
      </c>
      <c r="G10" s="5">
        <v>35.0</v>
      </c>
      <c r="H10" s="5">
        <v>49.0</v>
      </c>
      <c r="I10" s="5">
        <f t="shared" si="1"/>
        <v>315</v>
      </c>
    </row>
    <row r="11" ht="15.75" customHeight="1">
      <c r="A11" s="6"/>
    </row>
    <row r="12" ht="15.75" customHeight="1">
      <c r="A12" s="6"/>
    </row>
    <row r="13" ht="15.75" customHeight="1">
      <c r="A13" s="6"/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1.5" customHeight="1">
      <c r="A1" s="7" t="s">
        <v>18</v>
      </c>
      <c r="B1" s="8" t="s">
        <v>1</v>
      </c>
      <c r="C1" s="8" t="s">
        <v>2</v>
      </c>
      <c r="D1" s="8" t="s">
        <v>3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9" t="s">
        <v>8</v>
      </c>
    </row>
    <row r="2" ht="15.75" customHeight="1">
      <c r="A2" s="10" t="s">
        <v>26</v>
      </c>
      <c r="B2" s="5">
        <v>17.0</v>
      </c>
      <c r="C2" s="5">
        <v>36.0</v>
      </c>
      <c r="D2" s="5">
        <v>25.0</v>
      </c>
      <c r="E2" s="5">
        <v>13.0</v>
      </c>
      <c r="F2" s="5">
        <v>15.0</v>
      </c>
      <c r="G2" s="5">
        <v>16.0</v>
      </c>
      <c r="H2" s="5">
        <v>12.0</v>
      </c>
      <c r="I2" s="5">
        <v>6.0</v>
      </c>
      <c r="J2" s="5">
        <v>14.0</v>
      </c>
      <c r="K2" s="5">
        <v>14.0</v>
      </c>
      <c r="L2" s="5">
        <f t="shared" ref="L2:L6" si="1">SUM(C2:K2)</f>
        <v>151</v>
      </c>
    </row>
    <row r="3" ht="15.75" customHeight="1">
      <c r="A3" s="10" t="s">
        <v>27</v>
      </c>
      <c r="B3" s="5">
        <v>22.0</v>
      </c>
      <c r="C3" s="5">
        <v>33.0</v>
      </c>
      <c r="D3" s="5">
        <v>28.0</v>
      </c>
      <c r="E3" s="5">
        <v>18.0</v>
      </c>
      <c r="F3" s="11">
        <v>11.0</v>
      </c>
      <c r="G3" s="11">
        <v>20.0</v>
      </c>
      <c r="H3" s="5">
        <v>19.0</v>
      </c>
      <c r="I3" s="11">
        <v>30.0</v>
      </c>
      <c r="J3" s="11">
        <v>20.0</v>
      </c>
      <c r="K3" s="5">
        <v>25.0</v>
      </c>
      <c r="L3" s="5">
        <f t="shared" si="1"/>
        <v>204</v>
      </c>
    </row>
    <row r="4" ht="15.75" customHeight="1">
      <c r="A4" s="10" t="s">
        <v>28</v>
      </c>
      <c r="B4" s="5">
        <v>40.0</v>
      </c>
      <c r="C4" s="5">
        <v>46.0</v>
      </c>
      <c r="D4" s="5">
        <v>45.0</v>
      </c>
      <c r="E4" s="5">
        <v>28.0</v>
      </c>
      <c r="F4" s="5">
        <v>22.0</v>
      </c>
      <c r="G4" s="5">
        <v>27.0</v>
      </c>
      <c r="H4" s="5">
        <v>20.0</v>
      </c>
      <c r="I4" s="5">
        <v>34.0</v>
      </c>
      <c r="J4" s="5">
        <v>24.0</v>
      </c>
      <c r="K4" s="5">
        <v>29.0</v>
      </c>
      <c r="L4" s="5">
        <f t="shared" si="1"/>
        <v>275</v>
      </c>
    </row>
    <row r="5" ht="15.75" customHeight="1">
      <c r="A5" s="10" t="s">
        <v>29</v>
      </c>
      <c r="B5" s="5">
        <v>38.0</v>
      </c>
      <c r="C5" s="5">
        <v>57.0</v>
      </c>
      <c r="D5" s="5">
        <v>41.0</v>
      </c>
      <c r="E5" s="5">
        <v>32.0</v>
      </c>
      <c r="F5" s="5">
        <v>25.0</v>
      </c>
      <c r="G5" s="5">
        <v>13.0</v>
      </c>
      <c r="H5" s="5">
        <v>16.0</v>
      </c>
      <c r="I5" s="5">
        <v>26.0</v>
      </c>
      <c r="J5" s="5">
        <v>20.0</v>
      </c>
      <c r="K5" s="5">
        <v>26.0</v>
      </c>
      <c r="L5" s="5">
        <f t="shared" si="1"/>
        <v>256</v>
      </c>
    </row>
    <row r="6" ht="15.75" customHeight="1">
      <c r="A6" s="10" t="s">
        <v>30</v>
      </c>
      <c r="B6" s="5">
        <v>22.0</v>
      </c>
      <c r="C6" s="5">
        <v>32.0</v>
      </c>
      <c r="D6" s="5">
        <v>17.0</v>
      </c>
      <c r="E6" s="5">
        <v>12.0</v>
      </c>
      <c r="F6" s="5">
        <v>17.0</v>
      </c>
      <c r="G6" s="5">
        <v>7.0</v>
      </c>
      <c r="H6" s="5">
        <v>19.0</v>
      </c>
      <c r="I6" s="5">
        <v>13.0</v>
      </c>
      <c r="J6" s="5">
        <v>13.0</v>
      </c>
      <c r="K6" s="5">
        <v>15.0</v>
      </c>
      <c r="L6" s="5">
        <f t="shared" si="1"/>
        <v>145</v>
      </c>
    </row>
    <row r="7" ht="15.75" customHeight="1">
      <c r="A7" s="6"/>
    </row>
    <row r="8" ht="15.75" customHeight="1">
      <c r="A8" s="6"/>
    </row>
    <row r="9" ht="15.75" customHeight="1">
      <c r="A9" s="6"/>
    </row>
    <row r="10" ht="15.75" customHeight="1">
      <c r="A10" s="6"/>
    </row>
    <row r="11" ht="15.75" customHeight="1">
      <c r="A11" s="6"/>
    </row>
    <row r="12" ht="15.75" customHeight="1">
      <c r="A12" s="6"/>
    </row>
    <row r="13" ht="15.75" customHeight="1">
      <c r="A13" s="6"/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4.5" customHeight="1">
      <c r="A1" s="12" t="s">
        <v>31</v>
      </c>
      <c r="B1" s="13" t="s">
        <v>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4" t="s">
        <v>8</v>
      </c>
    </row>
    <row r="2" ht="15.75" customHeight="1">
      <c r="A2" s="10" t="s">
        <v>37</v>
      </c>
      <c r="B2" s="5">
        <v>20.0</v>
      </c>
      <c r="C2" s="5">
        <v>43.0</v>
      </c>
      <c r="D2" s="5">
        <v>27.0</v>
      </c>
      <c r="E2" s="5">
        <v>28.0</v>
      </c>
      <c r="F2" s="5">
        <v>29.0</v>
      </c>
      <c r="G2" s="5">
        <v>31.0</v>
      </c>
      <c r="H2" s="5">
        <f t="shared" ref="H2:H4" si="1">SUM(C2:G2)</f>
        <v>158</v>
      </c>
    </row>
    <row r="3" ht="15.75" customHeight="1">
      <c r="A3" s="10" t="s">
        <v>38</v>
      </c>
      <c r="B3" s="5">
        <v>20.0</v>
      </c>
      <c r="C3" s="5">
        <v>42.0</v>
      </c>
      <c r="D3" s="5">
        <v>13.0</v>
      </c>
      <c r="E3" s="5">
        <v>16.0</v>
      </c>
      <c r="F3" s="5">
        <v>35.0</v>
      </c>
      <c r="G3" s="5">
        <v>21.0</v>
      </c>
      <c r="H3" s="5">
        <f t="shared" si="1"/>
        <v>127</v>
      </c>
    </row>
    <row r="4" ht="15.75" customHeight="1">
      <c r="A4" s="10" t="s">
        <v>39</v>
      </c>
      <c r="B4" s="5">
        <v>11.0</v>
      </c>
      <c r="C4" s="5">
        <v>34.0</v>
      </c>
      <c r="D4" s="5">
        <v>10.0</v>
      </c>
      <c r="E4" s="5">
        <v>16.0</v>
      </c>
      <c r="F4" s="5">
        <v>13.0</v>
      </c>
      <c r="G4" s="5">
        <v>11.0</v>
      </c>
      <c r="H4" s="5">
        <f t="shared" si="1"/>
        <v>84</v>
      </c>
    </row>
    <row r="5" ht="15.75" customHeight="1">
      <c r="A5" s="6"/>
    </row>
    <row r="6" ht="15.75" customHeight="1">
      <c r="A6" s="6"/>
    </row>
    <row r="7" ht="15.75" customHeight="1">
      <c r="A7" s="6"/>
    </row>
    <row r="8" ht="15.75" customHeight="1">
      <c r="A8" s="6"/>
    </row>
    <row r="9" ht="15.75" customHeight="1">
      <c r="A9" s="6"/>
    </row>
    <row r="10" ht="15.75" customHeight="1">
      <c r="A10" s="6"/>
    </row>
    <row r="11" ht="15.75" customHeight="1">
      <c r="A11" s="6"/>
    </row>
    <row r="12" ht="15.75" customHeight="1">
      <c r="A12" s="6"/>
    </row>
    <row r="13" ht="15.75" customHeight="1">
      <c r="A13" s="6"/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